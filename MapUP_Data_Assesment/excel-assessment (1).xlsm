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-120" yWindow="-120" windowWidth="20730" windowHeight="1104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9"/>
  <c r="D20"/>
  <c r="D19"/>
  <c r="D18"/>
  <c r="D17"/>
  <c r="D16"/>
  <c r="D15"/>
  <c r="D14"/>
  <c r="D13"/>
  <c r="D12"/>
  <c r="F54" i="16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F30" i="18"/>
  <c r="E30"/>
  <c r="D30"/>
  <c r="C30"/>
  <c r="B30"/>
  <c r="F29"/>
  <c r="E29"/>
  <c r="D29"/>
  <c r="C29"/>
  <c r="B29"/>
  <c r="F28"/>
  <c r="E28"/>
  <c r="D28"/>
  <c r="C28"/>
  <c r="B28"/>
  <c r="B7"/>
  <c r="C7"/>
  <c r="D7"/>
  <c r="E7"/>
  <c r="F7"/>
  <c r="B8"/>
  <c r="C8"/>
  <c r="D8"/>
  <c r="E8"/>
  <c r="F8"/>
  <c r="B9"/>
  <c r="C9"/>
  <c r="D9"/>
  <c r="E9"/>
  <c r="F9"/>
  <c r="B10"/>
  <c r="C10"/>
  <c r="D10"/>
  <c r="E10"/>
  <c r="F10"/>
  <c r="B11"/>
  <c r="C11"/>
  <c r="D11"/>
  <c r="E11"/>
  <c r="F11"/>
  <c r="B12"/>
  <c r="C12"/>
  <c r="D12"/>
  <c r="E12"/>
  <c r="F12"/>
  <c r="B13"/>
  <c r="C13"/>
  <c r="D13"/>
  <c r="E13"/>
  <c r="F13"/>
  <c r="B14"/>
  <c r="C14"/>
  <c r="D14"/>
  <c r="E14"/>
  <c r="F14"/>
  <c r="B15"/>
  <c r="C15"/>
  <c r="D15"/>
  <c r="E15"/>
  <c r="F15"/>
  <c r="B16"/>
  <c r="C16"/>
  <c r="D16"/>
  <c r="E16"/>
  <c r="F16"/>
  <c r="B17"/>
  <c r="C17"/>
  <c r="D17"/>
  <c r="E17"/>
  <c r="F17"/>
  <c r="B18"/>
  <c r="C18"/>
  <c r="D18"/>
  <c r="E18"/>
  <c r="F18"/>
  <c r="B19"/>
  <c r="C19"/>
  <c r="D19"/>
  <c r="E19"/>
  <c r="F19"/>
  <c r="B20"/>
  <c r="C20"/>
  <c r="D20"/>
  <c r="E20"/>
  <c r="F20"/>
  <c r="B21"/>
  <c r="C21"/>
  <c r="D21"/>
  <c r="E21"/>
  <c r="F21"/>
  <c r="B22"/>
  <c r="C22"/>
  <c r="D22"/>
  <c r="E22"/>
  <c r="F22"/>
  <c r="B23"/>
  <c r="C23"/>
  <c r="D23"/>
  <c r="E23"/>
  <c r="F23"/>
  <c r="B24"/>
  <c r="C24"/>
  <c r="D24"/>
  <c r="E24"/>
  <c r="F24"/>
  <c r="B25"/>
  <c r="C25"/>
  <c r="D25"/>
  <c r="E25"/>
  <c r="F25"/>
  <c r="B26"/>
  <c r="C26"/>
  <c r="D26"/>
  <c r="E26"/>
  <c r="F26"/>
  <c r="B27"/>
  <c r="C27"/>
  <c r="D27"/>
  <c r="E27"/>
  <c r="F27"/>
  <c r="C6"/>
  <c r="D6"/>
  <c r="E6"/>
  <c r="F6"/>
  <c r="B6"/>
</calcChain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<sst xmlns="http://schemas.openxmlformats.org/spreadsheetml/2006/main" count="326" uniqueCount="181">
  <si>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</si>
  <si>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</si>
  <si>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</si>
  <si>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</si>
  <si>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</si>
  <si>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</si>
  <si>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</si>
  <si>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</si>
  <si>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</si>
  <si>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</si>
  <si>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</si>
  <si>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</si>
  <si>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</si>
  <si>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</si>
  <si>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</si>
  <si>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</si>
  <si>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</si>
  <si>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</si>
  <si>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</si>
  <si>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</si>
  <si>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</si>
  <si>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</si>
  <si>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</si>
  <si>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</si>
  <si>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</si>
  <si>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</si>
  <si>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</si>
  <si>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</si>
  <si>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</si>
  <si>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</si>
  <si>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</si>
  <si>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</si>
  <si>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</si>
  <si>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</si>
  <si>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</si>
  <si>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</si>
  <si>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</si>
  <si>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</si>
  <si>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</si>
  <si>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</si>
  <si>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</si>
  <si>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</si>
  <si>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</si>
  <si>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</si>
  <si>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</si>
  <si>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</si>
  <si>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</si>
  <si>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</si>
  <si>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</si>
  <si>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</si>
  <si>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</si>
  <si>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</si>
  <si>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</si>
  <si>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</si>
  <si>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</si>
  <si>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</si>
  <si>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</si>
  <si>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</si>
  <si>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</si>
  <si>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</si>
  <si>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</si>
  <si>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</si>
  <si>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</si>
  <si>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</si>
  <si>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</si>
  <si>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</si>
  <si>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</si>
  <si>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</si>
  <si>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</si>
  <si>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</si>
  <si>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</si>
  <si>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</si>
  <si>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</si>
  <si>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</si>
  <si>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</si>
  <si>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</si>
  <si>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</si>
  <si>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</si>
  <si>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</si>
  <si>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</si>
  <si>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</si>
  <si>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</si>
  <si>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</si>
  <si>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</si>
  <si>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</si>
  <si>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</si>
  <si>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</si>
  <si>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</si>
  <si>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</si>
  <si>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</si>
  <si>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</si>
  <si>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</si>
  <si>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</si>
  <si>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</si>
  <si>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</si>
  <si>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</si>
  <si>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</si>
  <si>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</si>
  <si>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</si>
  <si>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</si>
  <si>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</si>
  <si>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</si>
  <si>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</si>
  <si>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</si>
  <si>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</si>
  <si>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</si>
  <si>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</si>
  <si>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</si>
  <si>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</si>
  <si>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</si>
  <si>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</si>
  <si>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</si>
  <si>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</si>
  <si>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</si>
  <si>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</si>
  <si>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</si>
  <si>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</si>
  <si>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</si>
  <si>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</si>
  <si>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</si>
  <si>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</si>
  <si>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</si>
  <si>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</si>
  <si>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</si>
  <si>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</si>
  <si>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</si>
  <si>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</si>
  <si>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</si>
  <si>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</si>
  <si>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</si>
  <si>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</si>
  <si>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</si>
  <si>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</si>
  <si>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</si>
  <si>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</si>
  <si>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</si>
  <si>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</si>
  <si>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</si>
  <si>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</si>
  <si>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</si>
  <si>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</si>
  <si>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</si>
  <si>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</si>
  <si>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</si>
  <si>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</si>
  <si>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</si>
  <si>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</si>
  <si>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</si>
  <si>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</si>
  <si>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</si>
  <si>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</si>
  <si>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</si>
  <si>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</si>
  <si>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</si>
  <si>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</si>
  <si>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</si>
  <si>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</si>
  <si>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</si>
  <si>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</si>
  <si>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</si>
  <si>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</si>
  <si>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</si>
  <si>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</si>
  <si>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</si>
  <si>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</si>
  <si>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</si>
  <si>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</si>
  <si>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</si>
  <si>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</si>
  <si>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</si>
  <si>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</si>
  <si>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</si>
  <si>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</si>
  <si>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</si>
  <si>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</si>
  <si>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</si>
  <si>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</si>
  <si>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</si>
  <si>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IF(H2&gt;20,"car","non car")</t>
  </si>
  <si>
    <t>IF(ISNA(C12),20,C12)</t>
  </si>
  <si>
    <t>hear I have used a simple if condition where if the cell isna than in true used 20 else not isna use the same cell value to fill it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</si>
</sst>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6" formatCode="yyyy/mm/dd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4" fillId="5" borderId="0" xfId="0" applyFont="1" applyFill="1" applyAlignment="1">
      <alignment horizontal="center"/>
    </xf>
    <xf numFmtId="166" fontId="7" fillId="0" borderId="0" xfId="0" applyNumberFormat="1" applyFont="1"/>
    <xf numFmtId="166" fontId="3" fillId="0" borderId="0" xfId="0" applyNumberFormat="1" applyFont="1"/>
    <xf numFmtId="1" fontId="3" fillId="0" borderId="6" xfId="0" applyNumberFormat="1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>
      <selection activeCell="B14" sqref="B14"/>
    </sheetView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5" t="s">
        <v>109</v>
      </c>
    </row>
    <row r="2" spans="1:3">
      <c r="A2" s="2" t="s">
        <v>110</v>
      </c>
    </row>
    <row r="3" spans="1:3">
      <c r="A3" s="2" t="s">
        <v>111</v>
      </c>
    </row>
    <row r="4" spans="1:3" ht="15">
      <c r="A4" s="2" t="s">
        <v>112</v>
      </c>
      <c r="C4" s="1"/>
    </row>
    <row r="5" spans="1:3">
      <c r="A5" s="2" t="s">
        <v>153</v>
      </c>
    </row>
    <row r="8" spans="1:3">
      <c r="A8" s="2" t="s">
        <v>174</v>
      </c>
    </row>
    <row r="9" spans="1:3">
      <c r="A9" s="32" t="s">
        <v>172</v>
      </c>
      <c r="B9" s="23" t="s">
        <v>170</v>
      </c>
    </row>
    <row r="10" spans="1:3">
      <c r="A10" s="31" t="s">
        <v>173</v>
      </c>
      <c r="B10" s="33">
        <v>25</v>
      </c>
    </row>
    <row r="11" spans="1:3">
      <c r="A11" s="31" t="s">
        <v>55</v>
      </c>
      <c r="B11" s="33">
        <v>30</v>
      </c>
    </row>
    <row r="12" spans="1:3">
      <c r="A12" s="31" t="s">
        <v>56</v>
      </c>
      <c r="B12" s="33">
        <v>10</v>
      </c>
    </row>
    <row r="13" spans="1:3">
      <c r="A13" s="31" t="s">
        <v>85</v>
      </c>
      <c r="B13" s="33">
        <v>20</v>
      </c>
    </row>
    <row r="14" spans="1:3">
      <c r="A14" s="31" t="s">
        <v>98</v>
      </c>
      <c r="B14" s="33">
        <v>40</v>
      </c>
    </row>
    <row r="15" spans="1:3">
      <c r="A15" s="34" t="s">
        <v>171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0"/>
  <sheetViews>
    <sheetView tabSelected="1" workbookViewId="0">
      <pane ySplit="1" topLeftCell="A19" activePane="bottomLeft" state="frozen"/>
      <selection pane="bottomLeft" activeCell="G1" sqref="G1:I1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1" customWidth="1"/>
    <col min="5" max="5" width="9.1640625" style="1" bestFit="1" customWidth="1"/>
    <col min="6" max="6" width="10.33203125" style="21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3" bestFit="1" customWidth="1"/>
    <col min="25" max="16384" width="9" style="1"/>
  </cols>
  <sheetData>
    <row r="1" spans="1:24" s="3" customFormat="1" ht="14.85" customHeight="1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42" t="s">
        <v>106</v>
      </c>
    </row>
    <row r="2" spans="1:24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A6" sqref="A6"/>
    </sheetView>
  </sheetViews>
  <sheetFormatPr defaultColWidth="11" defaultRowHeight="1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27.33203125" style="1" bestFit="1" customWidth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177</v>
      </c>
    </row>
    <row r="2" spans="1:5">
      <c r="A2" s="2"/>
      <c r="B2" s="5" t="s">
        <v>161</v>
      </c>
      <c r="C2" s="2"/>
    </row>
    <row r="3" spans="1:5">
      <c r="A3" s="41">
        <v>1</v>
      </c>
      <c r="B3" s="2" t="s">
        <v>108</v>
      </c>
      <c r="C3" s="2" t="s">
        <v>45</v>
      </c>
      <c r="E3" s="1">
        <v>5</v>
      </c>
    </row>
    <row r="4" spans="1:5">
      <c r="A4" s="41">
        <v>2</v>
      </c>
      <c r="B4" s="2" t="s">
        <v>46</v>
      </c>
      <c r="C4" s="2"/>
      <c r="E4" s="1">
        <v>5</v>
      </c>
    </row>
    <row r="5" spans="1:5">
      <c r="A5" s="41">
        <v>3</v>
      </c>
      <c r="B5" s="2" t="s">
        <v>104</v>
      </c>
      <c r="C5" s="30" t="s">
        <v>105</v>
      </c>
      <c r="D5" s="1" t="s">
        <v>178</v>
      </c>
      <c r="E5" s="1">
        <v>10</v>
      </c>
    </row>
    <row r="6" spans="1:5">
      <c r="A6" s="41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topLeftCell="A10" zoomScale="85" zoomScaleNormal="85" workbookViewId="0">
      <selection activeCell="B28" sqref="B28:F30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7" customFormat="1" ht="21">
      <c r="A1" s="38" t="s">
        <v>55</v>
      </c>
      <c r="B1" s="37" t="s">
        <v>165</v>
      </c>
    </row>
    <row r="2" spans="1:7" s="37" customFormat="1" ht="21">
      <c r="B2" s="37" t="s">
        <v>162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5" t="s">
        <v>163</v>
      </c>
      <c r="B4" s="1"/>
      <c r="C4" s="1"/>
      <c r="D4" s="1"/>
      <c r="E4" s="1"/>
      <c r="F4" s="1"/>
      <c r="G4" s="1"/>
    </row>
    <row r="5" spans="1:7" ht="15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20" t="s">
        <v>77</v>
      </c>
    </row>
    <row r="6" spans="1:7" ht="15">
      <c r="A6" s="6" t="s">
        <v>40</v>
      </c>
      <c r="B6" s="9">
        <f>VLOOKUP($A6,Dataset!$A:$X,MATCH(Task_2!B$5,Dataset!$A$1:$X$1,0),0)</f>
        <v>2.7</v>
      </c>
      <c r="C6" s="9">
        <f>VLOOKUP($A6,Dataset!$A:$X,MATCH(Task_2!C$5,Dataset!$A$1:$X$1,0),0)</f>
        <v>7.6</v>
      </c>
      <c r="D6" s="9">
        <f>VLOOKUP($A6,Dataset!$A:$X,MATCH(Task_2!D$5,Dataset!$A$1:$X$1,0),0)</f>
        <v>4.2</v>
      </c>
      <c r="E6" s="9">
        <f>VLOOKUP($A6,Dataset!$A:$X,MATCH(Task_2!E$5,Dataset!$A$1:$X$1,0),0)</f>
        <v>8.9</v>
      </c>
      <c r="F6" s="9">
        <f>VLOOKUP($A6,Dataset!$A:$X,MATCH(Task_2!F$5,Dataset!$A$1:$X$1,0),0)</f>
        <v>4.2</v>
      </c>
    </row>
    <row r="7" spans="1:7" ht="15">
      <c r="A7" s="6" t="s">
        <v>4</v>
      </c>
      <c r="B7" s="9">
        <f>VLOOKUP($A7,Dataset!$A:$X,MATCH(Task_2!B$5,Dataset!$A$1:$X$1,0),0)</f>
        <v>2.7</v>
      </c>
      <c r="C7" s="9">
        <f>VLOOKUP($A7,Dataset!$A:$X,MATCH(Task_2!C$5,Dataset!$A$1:$X$1,0),0)</f>
        <v>7.6</v>
      </c>
      <c r="D7" s="9">
        <f>VLOOKUP($A7,Dataset!$A:$X,MATCH(Task_2!D$5,Dataset!$A$1:$X$1,0),0)</f>
        <v>4.2</v>
      </c>
      <c r="E7" s="9">
        <f>VLOOKUP($A7,Dataset!$A:$X,MATCH(Task_2!E$5,Dataset!$A$1:$X$1,0),0)</f>
        <v>8.9</v>
      </c>
      <c r="F7" s="9">
        <f>VLOOKUP($A7,Dataset!$A:$X,MATCH(Task_2!F$5,Dataset!$A$1:$X$1,0),0)</f>
        <v>4.2</v>
      </c>
    </row>
    <row r="8" spans="1:7" ht="15">
      <c r="A8" s="6" t="s">
        <v>7</v>
      </c>
      <c r="B8" s="9">
        <f>VLOOKUP($A8,Dataset!$A:$X,MATCH(Task_2!B$5,Dataset!$A$1:$X$1,0),0)</f>
        <v>3.6</v>
      </c>
      <c r="C8" s="9">
        <f>VLOOKUP($A8,Dataset!$A:$X,MATCH(Task_2!C$5,Dataset!$A$1:$X$1,0),0)</f>
        <v>11.1</v>
      </c>
      <c r="D8" s="9">
        <f>VLOOKUP($A8,Dataset!$A:$X,MATCH(Task_2!D$5,Dataset!$A$1:$X$1,0),0)</f>
        <v>5.8</v>
      </c>
      <c r="E8" s="9">
        <f>VLOOKUP($A8,Dataset!$A:$X,MATCH(Task_2!E$5,Dataset!$A$1:$X$1,0),0)</f>
        <v>12.2</v>
      </c>
      <c r="F8" s="9">
        <f>VLOOKUP($A8,Dataset!$A:$X,MATCH(Task_2!F$5,Dataset!$A$1:$X$1,0),0)</f>
        <v>5.8</v>
      </c>
    </row>
    <row r="9" spans="1:7" ht="15">
      <c r="A9" s="6" t="s">
        <v>8</v>
      </c>
      <c r="B9" s="9">
        <f>VLOOKUP($A9,Dataset!$A:$X,MATCH(Task_2!B$5,Dataset!$A$1:$X$1,0),0)</f>
        <v>4.9000000000000004</v>
      </c>
      <c r="C9" s="9">
        <f>VLOOKUP($A9,Dataset!$A:$X,MATCH(Task_2!C$5,Dataset!$A$1:$X$1,0),0)</f>
        <v>13.3</v>
      </c>
      <c r="D9" s="9">
        <f>VLOOKUP($A9,Dataset!$A:$X,MATCH(Task_2!D$5,Dataset!$A$1:$X$1,0),0)</f>
        <v>8.1</v>
      </c>
      <c r="E9" s="9">
        <f>VLOOKUP($A9,Dataset!$A:$X,MATCH(Task_2!E$5,Dataset!$A$1:$X$1,0),0)</f>
        <v>17</v>
      </c>
      <c r="F9" s="9">
        <f>VLOOKUP($A9,Dataset!$A:$X,MATCH(Task_2!F$5,Dataset!$A$1:$X$1,0),0)</f>
        <v>8.1</v>
      </c>
    </row>
    <row r="10" spans="1:7" ht="15">
      <c r="A10" s="6" t="s">
        <v>11</v>
      </c>
      <c r="B10" s="9">
        <f>VLOOKUP($A10,Dataset!$A:$X,MATCH(Task_2!B$5,Dataset!$A$1:$X$1,0),0)</f>
        <v>9.4</v>
      </c>
      <c r="C10" s="9">
        <f>VLOOKUP($A10,Dataset!$A:$X,MATCH(Task_2!C$5,Dataset!$A$1:$X$1,0),0)</f>
        <v>28.3</v>
      </c>
      <c r="D10" s="9">
        <f>VLOOKUP($A10,Dataset!$A:$X,MATCH(Task_2!D$5,Dataset!$A$1:$X$1,0),0)</f>
        <v>16.100000000000001</v>
      </c>
      <c r="E10" s="9">
        <f>VLOOKUP($A10,Dataset!$A:$X,MATCH(Task_2!E$5,Dataset!$A$1:$X$1,0),0)</f>
        <v>32.799999999999997</v>
      </c>
      <c r="F10" s="9">
        <f>VLOOKUP($A10,Dataset!$A:$X,MATCH(Task_2!F$5,Dataset!$A$1:$X$1,0),0)</f>
        <v>16.100000000000001</v>
      </c>
    </row>
    <row r="11" spans="1:7" ht="15">
      <c r="A11" s="6" t="s">
        <v>12</v>
      </c>
      <c r="B11" s="9">
        <f>VLOOKUP($A11,Dataset!$A:$X,MATCH(Task_2!B$5,Dataset!$A$1:$X$1,0),0)</f>
        <v>11.6</v>
      </c>
      <c r="C11" s="9">
        <f>VLOOKUP($A11,Dataset!$A:$X,MATCH(Task_2!C$5,Dataset!$A$1:$X$1,0),0)</f>
        <v>35.200000000000003</v>
      </c>
      <c r="D11" s="9">
        <f>VLOOKUP($A11,Dataset!$A:$X,MATCH(Task_2!D$5,Dataset!$A$1:$X$1,0),0)</f>
        <v>21.3</v>
      </c>
      <c r="E11" s="9">
        <f>VLOOKUP($A11,Dataset!$A:$X,MATCH(Task_2!E$5,Dataset!$A$1:$X$1,0),0)</f>
        <v>43</v>
      </c>
      <c r="F11" s="9">
        <f>VLOOKUP($A11,Dataset!$A:$X,MATCH(Task_2!F$5,Dataset!$A$1:$X$1,0),0)</f>
        <v>21.3</v>
      </c>
    </row>
    <row r="12" spans="1:7" ht="15">
      <c r="A12" s="6" t="s">
        <v>14</v>
      </c>
      <c r="B12" s="9">
        <f>VLOOKUP($A12,Dataset!$A:$X,MATCH(Task_2!B$5,Dataset!$A$1:$X$1,0),0)</f>
        <v>18.399999999999999</v>
      </c>
      <c r="C12" s="9">
        <f>VLOOKUP($A12,Dataset!$A:$X,MATCH(Task_2!C$5,Dataset!$A$1:$X$1,0),0)</f>
        <v>55.6</v>
      </c>
      <c r="D12" s="9">
        <f>VLOOKUP($A12,Dataset!$A:$X,MATCH(Task_2!D$5,Dataset!$A$1:$X$1,0),0)</f>
        <v>33.799999999999997</v>
      </c>
      <c r="E12" s="9">
        <f>VLOOKUP($A12,Dataset!$A:$X,MATCH(Task_2!E$5,Dataset!$A$1:$X$1,0),0)</f>
        <v>67.900000000000006</v>
      </c>
      <c r="F12" s="9">
        <f>VLOOKUP($A12,Dataset!$A:$X,MATCH(Task_2!F$5,Dataset!$A$1:$X$1,0),0)</f>
        <v>33.799999999999997</v>
      </c>
    </row>
    <row r="13" spans="1:7" ht="15">
      <c r="A13" s="6" t="s">
        <v>15</v>
      </c>
      <c r="B13" s="9">
        <f>VLOOKUP($A13,Dataset!$A:$X,MATCH(Task_2!B$5,Dataset!$A$1:$X$1,0),0)</f>
        <v>0</v>
      </c>
      <c r="C13" s="9">
        <f>VLOOKUP($A13,Dataset!$A:$X,MATCH(Task_2!C$5,Dataset!$A$1:$X$1,0),0)</f>
        <v>0</v>
      </c>
      <c r="D13" s="9">
        <f>VLOOKUP($A13,Dataset!$A:$X,MATCH(Task_2!D$5,Dataset!$A$1:$X$1,0),0)</f>
        <v>0</v>
      </c>
      <c r="E13" s="9">
        <f>VLOOKUP($A13,Dataset!$A:$X,MATCH(Task_2!E$5,Dataset!$A$1:$X$1,0),0)</f>
        <v>0</v>
      </c>
      <c r="F13" s="9">
        <f>VLOOKUP($A13,Dataset!$A:$X,MATCH(Task_2!F$5,Dataset!$A$1:$X$1,0),0)</f>
        <v>0</v>
      </c>
    </row>
    <row r="14" spans="1:7" ht="15">
      <c r="A14" s="6" t="s">
        <v>16</v>
      </c>
      <c r="B14" s="9">
        <f>VLOOKUP($A14,Dataset!$A:$X,MATCH(Task_2!B$5,Dataset!$A$1:$X$1,0),0)</f>
        <v>21.9</v>
      </c>
      <c r="C14" s="9">
        <f>VLOOKUP($A14,Dataset!$A:$X,MATCH(Task_2!C$5,Dataset!$A$1:$X$1,0),0)</f>
        <v>61.5</v>
      </c>
      <c r="D14" s="9">
        <f>VLOOKUP($A14,Dataset!$A:$X,MATCH(Task_2!D$5,Dataset!$A$1:$X$1,0),0)</f>
        <v>40.1</v>
      </c>
      <c r="E14" s="9">
        <f>VLOOKUP($A14,Dataset!$A:$X,MATCH(Task_2!E$5,Dataset!$A$1:$X$1,0),0)</f>
        <v>76.599999999999994</v>
      </c>
      <c r="F14" s="9">
        <f>VLOOKUP($A14,Dataset!$A:$X,MATCH(Task_2!F$5,Dataset!$A$1:$X$1,0),0)</f>
        <v>40.1</v>
      </c>
    </row>
    <row r="15" spans="1:7" ht="15">
      <c r="A15" s="6" t="s">
        <v>18</v>
      </c>
      <c r="B15" s="9">
        <f>VLOOKUP($A15,Dataset!$A:$X,MATCH(Task_2!B$5,Dataset!$A$1:$X$1,0),0)</f>
        <v>26.8</v>
      </c>
      <c r="C15" s="9">
        <f>VLOOKUP($A15,Dataset!$A:$X,MATCH(Task_2!C$5,Dataset!$A$1:$X$1,0),0)</f>
        <v>79.599999999999994</v>
      </c>
      <c r="D15" s="9">
        <f>VLOOKUP($A15,Dataset!$A:$X,MATCH(Task_2!D$5,Dataset!$A$1:$X$1,0),0)</f>
        <v>47.9</v>
      </c>
      <c r="E15" s="9">
        <f>VLOOKUP($A15,Dataset!$A:$X,MATCH(Task_2!E$5,Dataset!$A$1:$X$1,0),0)</f>
        <v>96.8</v>
      </c>
      <c r="F15" s="9">
        <f>VLOOKUP($A15,Dataset!$A:$X,MATCH(Task_2!F$5,Dataset!$A$1:$X$1,0),0)</f>
        <v>47.9</v>
      </c>
    </row>
    <row r="16" spans="1:7" ht="15">
      <c r="A16" s="6" t="s">
        <v>20</v>
      </c>
      <c r="B16" s="9">
        <f>VLOOKUP($A16,Dataset!$A:$X,MATCH(Task_2!B$5,Dataset!$A$1:$X$1,0),0)</f>
        <v>28.5</v>
      </c>
      <c r="C16" s="9">
        <f>VLOOKUP($A16,Dataset!$A:$X,MATCH(Task_2!C$5,Dataset!$A$1:$X$1,0),0)</f>
        <v>85.4</v>
      </c>
      <c r="D16" s="9">
        <f>VLOOKUP($A16,Dataset!$A:$X,MATCH(Task_2!D$5,Dataset!$A$1:$X$1,0),0)</f>
        <v>52.3</v>
      </c>
      <c r="E16" s="9">
        <f>VLOOKUP($A16,Dataset!$A:$X,MATCH(Task_2!E$5,Dataset!$A$1:$X$1,0),0)</f>
        <v>106.1</v>
      </c>
      <c r="F16" s="9">
        <f>VLOOKUP($A16,Dataset!$A:$X,MATCH(Task_2!F$5,Dataset!$A$1:$X$1,0),0)</f>
        <v>52.3</v>
      </c>
    </row>
    <row r="17" spans="1:6" ht="15">
      <c r="A17" s="6" t="s">
        <v>22</v>
      </c>
      <c r="B17" s="9">
        <f>VLOOKUP($A17,Dataset!$A:$X,MATCH(Task_2!B$5,Dataset!$A$1:$X$1,0),0)</f>
        <v>30.7</v>
      </c>
      <c r="C17" s="9">
        <f>VLOOKUP($A17,Dataset!$A:$X,MATCH(Task_2!C$5,Dataset!$A$1:$X$1,0),0)</f>
        <v>92.1</v>
      </c>
      <c r="D17" s="9">
        <f>VLOOKUP($A17,Dataset!$A:$X,MATCH(Task_2!D$5,Dataset!$A$1:$X$1,0),0)</f>
        <v>57</v>
      </c>
      <c r="E17" s="9">
        <f>VLOOKUP($A17,Dataset!$A:$X,MATCH(Task_2!E$5,Dataset!$A$1:$X$1,0),0)</f>
        <v>115.1</v>
      </c>
      <c r="F17" s="9">
        <f>VLOOKUP($A17,Dataset!$A:$X,MATCH(Task_2!F$5,Dataset!$A$1:$X$1,0),0)</f>
        <v>57</v>
      </c>
    </row>
    <row r="18" spans="1:6" ht="15">
      <c r="A18" s="6" t="s">
        <v>23</v>
      </c>
      <c r="B18" s="9">
        <f>VLOOKUP($A18,Dataset!$A:$X,MATCH(Task_2!B$5,Dataset!$A$1:$X$1,0),0)</f>
        <v>33.799999999999997</v>
      </c>
      <c r="C18" s="9">
        <f>VLOOKUP($A18,Dataset!$A:$X,MATCH(Task_2!C$5,Dataset!$A$1:$X$1,0),0)</f>
        <v>101.3</v>
      </c>
      <c r="D18" s="9">
        <f>VLOOKUP($A18,Dataset!$A:$X,MATCH(Task_2!D$5,Dataset!$A$1:$X$1,0),0)</f>
        <v>61.4</v>
      </c>
      <c r="E18" s="9">
        <f>VLOOKUP($A18,Dataset!$A:$X,MATCH(Task_2!E$5,Dataset!$A$1:$X$1,0),0)</f>
        <v>124.4</v>
      </c>
      <c r="F18" s="9">
        <f>VLOOKUP($A18,Dataset!$A:$X,MATCH(Task_2!F$5,Dataset!$A$1:$X$1,0),0)</f>
        <v>61.4</v>
      </c>
    </row>
    <row r="19" spans="1:6" ht="15">
      <c r="A19" s="6" t="s">
        <v>24</v>
      </c>
      <c r="B19" s="9">
        <f>VLOOKUP($A19,Dataset!$A:$X,MATCH(Task_2!B$5,Dataset!$A$1:$X$1,0),0)</f>
        <v>34.700000000000003</v>
      </c>
      <c r="C19" s="9">
        <f>VLOOKUP($A19,Dataset!$A:$X,MATCH(Task_2!C$5,Dataset!$A$1:$X$1,0),0)</f>
        <v>106.1</v>
      </c>
      <c r="D19" s="9">
        <f>VLOOKUP($A19,Dataset!$A:$X,MATCH(Task_2!D$5,Dataset!$A$1:$X$1,0),0)</f>
        <v>63.6</v>
      </c>
      <c r="E19" s="9">
        <f>VLOOKUP($A19,Dataset!$A:$X,MATCH(Task_2!E$5,Dataset!$A$1:$X$1,0),0)</f>
        <v>128.6</v>
      </c>
      <c r="F19" s="9">
        <f>VLOOKUP($A19,Dataset!$A:$X,MATCH(Task_2!F$5,Dataset!$A$1:$X$1,0),0)</f>
        <v>63.6</v>
      </c>
    </row>
    <row r="20" spans="1:6" ht="15">
      <c r="A20" s="6" t="s">
        <v>28</v>
      </c>
      <c r="B20" s="9">
        <f>VLOOKUP($A20,Dataset!$A:$X,MATCH(Task_2!B$5,Dataset!$A$1:$X$1,0),0)</f>
        <v>0</v>
      </c>
      <c r="C20" s="9">
        <f>VLOOKUP($A20,Dataset!$A:$X,MATCH(Task_2!C$5,Dataset!$A$1:$X$1,0),0)</f>
        <v>0</v>
      </c>
      <c r="D20" s="9">
        <f>VLOOKUP($A20,Dataset!$A:$X,MATCH(Task_2!D$5,Dataset!$A$1:$X$1,0),0)</f>
        <v>0</v>
      </c>
      <c r="E20" s="9">
        <f>VLOOKUP($A20,Dataset!$A:$X,MATCH(Task_2!E$5,Dataset!$A$1:$X$1,0),0)</f>
        <v>0</v>
      </c>
      <c r="F20" s="9">
        <f>VLOOKUP($A20,Dataset!$A:$X,MATCH(Task_2!F$5,Dataset!$A$1:$X$1,0),0)</f>
        <v>0</v>
      </c>
    </row>
    <row r="21" spans="1:6" ht="15">
      <c r="A21" s="6" t="s">
        <v>57</v>
      </c>
      <c r="B21" s="9">
        <f>VLOOKUP($A21,Dataset!$A:$X,MATCH(Task_2!B$5,Dataset!$A$1:$X$1,0),0)</f>
        <v>41.3</v>
      </c>
      <c r="C21" s="9">
        <f>VLOOKUP($A21,Dataset!$A:$X,MATCH(Task_2!C$5,Dataset!$A$1:$X$1,0),0)</f>
        <v>124.4</v>
      </c>
      <c r="D21" s="9">
        <f>VLOOKUP($A21,Dataset!$A:$X,MATCH(Task_2!D$5,Dataset!$A$1:$X$1,0),0)</f>
        <v>75</v>
      </c>
      <c r="E21" s="9">
        <f>VLOOKUP($A21,Dataset!$A:$X,MATCH(Task_2!E$5,Dataset!$A$1:$X$1,0),0)</f>
        <v>151.5</v>
      </c>
      <c r="F21" s="9">
        <f>VLOOKUP($A21,Dataset!$A:$X,MATCH(Task_2!F$5,Dataset!$A$1:$X$1,0),0)</f>
        <v>75</v>
      </c>
    </row>
    <row r="22" spans="1:6" ht="15">
      <c r="A22" s="6" t="s">
        <v>58</v>
      </c>
      <c r="B22" s="9">
        <f>VLOOKUP($A22,Dataset!$A:$X,MATCH(Task_2!B$5,Dataset!$A$1:$X$1,0),0)</f>
        <v>-1</v>
      </c>
      <c r="C22" s="9">
        <f>VLOOKUP($A22,Dataset!$A:$X,MATCH(Task_2!C$5,Dataset!$A$1:$X$1,0),0)</f>
        <v>-1</v>
      </c>
      <c r="D22" s="9">
        <f>VLOOKUP($A22,Dataset!$A:$X,MATCH(Task_2!D$5,Dataset!$A$1:$X$1,0),0)</f>
        <v>-1</v>
      </c>
      <c r="E22" s="9">
        <f>VLOOKUP($A22,Dataset!$A:$X,MATCH(Task_2!E$5,Dataset!$A$1:$X$1,0),0)</f>
        <v>-1</v>
      </c>
      <c r="F22" s="9">
        <f>VLOOKUP($A22,Dataset!$A:$X,MATCH(Task_2!F$5,Dataset!$A$1:$X$1,0),0)</f>
        <v>-1</v>
      </c>
    </row>
    <row r="23" spans="1:6" ht="15">
      <c r="A23" s="6" t="s">
        <v>31</v>
      </c>
      <c r="B23" s="9">
        <f>VLOOKUP($A23,Dataset!$A:$X,MATCH(Task_2!B$5,Dataset!$A$1:$X$1,0),0)</f>
        <v>45</v>
      </c>
      <c r="C23" s="9">
        <f>VLOOKUP($A23,Dataset!$A:$X,MATCH(Task_2!C$5,Dataset!$A$1:$X$1,0),0)</f>
        <v>133.4</v>
      </c>
      <c r="D23" s="9">
        <f>VLOOKUP($A23,Dataset!$A:$X,MATCH(Task_2!D$5,Dataset!$A$1:$X$1,0),0)</f>
        <v>79.400000000000006</v>
      </c>
      <c r="E23" s="9">
        <f>VLOOKUP($A23,Dataset!$A:$X,MATCH(Task_2!E$5,Dataset!$A$1:$X$1,0),0)</f>
        <v>160.9</v>
      </c>
      <c r="F23" s="9">
        <f>VLOOKUP($A23,Dataset!$A:$X,MATCH(Task_2!F$5,Dataset!$A$1:$X$1,0),0)</f>
        <v>79.400000000000006</v>
      </c>
    </row>
    <row r="24" spans="1:6" ht="15">
      <c r="A24" s="6" t="s">
        <v>32</v>
      </c>
      <c r="B24" s="9">
        <f>VLOOKUP($A24,Dataset!$A:$X,MATCH(Task_2!B$5,Dataset!$A$1:$X$1,0),0)</f>
        <v>-1</v>
      </c>
      <c r="C24" s="9">
        <f>VLOOKUP($A24,Dataset!$A:$X,MATCH(Task_2!C$5,Dataset!$A$1:$X$1,0),0)</f>
        <v>-1</v>
      </c>
      <c r="D24" s="9">
        <f>VLOOKUP($A24,Dataset!$A:$X,MATCH(Task_2!D$5,Dataset!$A$1:$X$1,0),0)</f>
        <v>-1</v>
      </c>
      <c r="E24" s="9">
        <f>VLOOKUP($A24,Dataset!$A:$X,MATCH(Task_2!E$5,Dataset!$A$1:$X$1,0),0)</f>
        <v>-1</v>
      </c>
      <c r="F24" s="9">
        <f>VLOOKUP($A24,Dataset!$A:$X,MATCH(Task_2!F$5,Dataset!$A$1:$X$1,0),0)</f>
        <v>-1</v>
      </c>
    </row>
    <row r="25" spans="1:6" ht="15">
      <c r="A25" s="6" t="s">
        <v>34</v>
      </c>
      <c r="B25" s="9">
        <f>VLOOKUP($A25,Dataset!$A:$X,MATCH(Task_2!B$5,Dataset!$A$1:$X$1,0),0)</f>
        <v>43.3</v>
      </c>
      <c r="C25" s="9">
        <f>VLOOKUP($A25,Dataset!$A:$X,MATCH(Task_2!C$5,Dataset!$A$1:$X$1,0),0)</f>
        <v>128.6</v>
      </c>
      <c r="D25" s="9">
        <f>VLOOKUP($A25,Dataset!$A:$X,MATCH(Task_2!D$5,Dataset!$A$1:$X$1,0),0)</f>
        <v>79.400000000000006</v>
      </c>
      <c r="E25" s="9">
        <f>VLOOKUP($A25,Dataset!$A:$X,MATCH(Task_2!E$5,Dataset!$A$1:$X$1,0),0)</f>
        <v>160.9</v>
      </c>
      <c r="F25" s="9">
        <f>VLOOKUP($A25,Dataset!$A:$X,MATCH(Task_2!F$5,Dataset!$A$1:$X$1,0),0)</f>
        <v>79.400000000000006</v>
      </c>
    </row>
    <row r="26" spans="1:6" ht="15">
      <c r="A26" s="6" t="s">
        <v>37</v>
      </c>
      <c r="B26" s="9">
        <f>VLOOKUP($A26,Dataset!$A:$X,MATCH(Task_2!B$5,Dataset!$A$1:$X$1,0),0)</f>
        <v>49.1</v>
      </c>
      <c r="C26" s="9">
        <f>VLOOKUP($A26,Dataset!$A:$X,MATCH(Task_2!C$5,Dataset!$A$1:$X$1,0),0)</f>
        <v>146.80000000000001</v>
      </c>
      <c r="D26" s="9">
        <f>VLOOKUP($A26,Dataset!$A:$X,MATCH(Task_2!D$5,Dataset!$A$1:$X$1,0),0)</f>
        <v>90.9</v>
      </c>
      <c r="E26" s="9">
        <f>VLOOKUP($A26,Dataset!$A:$X,MATCH(Task_2!E$5,Dataset!$A$1:$X$1,0),0)</f>
        <v>183.5</v>
      </c>
      <c r="F26" s="9">
        <f>VLOOKUP($A26,Dataset!$A:$X,MATCH(Task_2!F$5,Dataset!$A$1:$X$1,0),0)</f>
        <v>90.9</v>
      </c>
    </row>
    <row r="27" spans="1:6" ht="15">
      <c r="A27" s="6" t="s">
        <v>39</v>
      </c>
      <c r="B27" s="9">
        <f>VLOOKUP($A27,Dataset!$A:$X,MATCH(Task_2!B$5,Dataset!$A$1:$X$1,0),0)</f>
        <v>51.8</v>
      </c>
      <c r="C27" s="9">
        <f>VLOOKUP($A27,Dataset!$A:$X,MATCH(Task_2!C$5,Dataset!$A$1:$X$1,0),0)</f>
        <v>156.4</v>
      </c>
      <c r="D27" s="9">
        <f>VLOOKUP($A27,Dataset!$A:$X,MATCH(Task_2!D$5,Dataset!$A$1:$X$1,0),0)</f>
        <v>93.1</v>
      </c>
      <c r="E27" s="9">
        <f>VLOOKUP($A27,Dataset!$A:$X,MATCH(Task_2!E$5,Dataset!$A$1:$X$1,0),0)</f>
        <v>188.1</v>
      </c>
      <c r="F27" s="9">
        <f>VLOOKUP($A27,Dataset!$A:$X,MATCH(Task_2!F$5,Dataset!$A$1:$X$1,0),0)</f>
        <v>93.1</v>
      </c>
    </row>
    <row r="28" spans="1:6" ht="15">
      <c r="A28" s="16" t="s">
        <v>82</v>
      </c>
      <c r="B28" s="44">
        <f>MIN(B$6:B$27)</f>
        <v>-1</v>
      </c>
      <c r="C28" s="44">
        <f t="shared" ref="C28:F28" si="0">MIN(C$6:C$27)</f>
        <v>-1</v>
      </c>
      <c r="D28" s="44">
        <f t="shared" si="0"/>
        <v>-1</v>
      </c>
      <c r="E28" s="44">
        <f t="shared" si="0"/>
        <v>-1</v>
      </c>
      <c r="F28" s="44">
        <f t="shared" si="0"/>
        <v>-1</v>
      </c>
    </row>
    <row r="29" spans="1:6" ht="15">
      <c r="A29" s="16" t="s">
        <v>83</v>
      </c>
      <c r="B29" s="44">
        <f>MAX(B$6:B$27)</f>
        <v>51.8</v>
      </c>
      <c r="C29" s="44">
        <f t="shared" ref="C29:F29" si="1">MAX(C$6:C$27)</f>
        <v>156.4</v>
      </c>
      <c r="D29" s="44">
        <f t="shared" si="1"/>
        <v>93.1</v>
      </c>
      <c r="E29" s="44">
        <f t="shared" si="1"/>
        <v>188.1</v>
      </c>
      <c r="F29" s="44">
        <f t="shared" si="1"/>
        <v>93.1</v>
      </c>
    </row>
    <row r="30" spans="1:6" ht="15">
      <c r="A30" s="16" t="s">
        <v>84</v>
      </c>
      <c r="B30" s="44">
        <f>AVERAGE(B$6:B$27)</f>
        <v>20.827272727272728</v>
      </c>
      <c r="C30" s="44">
        <f t="shared" ref="C30:F30" si="2">AVERAGE(C$6:C$27)</f>
        <v>62.377272727272725</v>
      </c>
      <c r="D30" s="44">
        <f t="shared" si="2"/>
        <v>37.800000000000004</v>
      </c>
      <c r="E30" s="44">
        <f t="shared" si="2"/>
        <v>76.418181818181822</v>
      </c>
      <c r="F30" s="44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topLeftCell="B14" workbookViewId="0">
      <selection activeCell="F54" sqref="F16:F54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7" customFormat="1" ht="21">
      <c r="A1" s="38" t="s">
        <v>56</v>
      </c>
      <c r="B1" s="37" t="s">
        <v>175</v>
      </c>
    </row>
    <row r="2" spans="1:10" customFormat="1" ht="12.75"/>
    <row r="3" spans="1:10" s="2" customFormat="1">
      <c r="B3" s="1"/>
    </row>
    <row r="4" spans="1:10" s="2" customFormat="1">
      <c r="B4" s="1" t="s">
        <v>152</v>
      </c>
    </row>
    <row r="5" spans="1:10" ht="18.75">
      <c r="A5" s="39" t="s">
        <v>53</v>
      </c>
      <c r="B5" s="36"/>
    </row>
    <row r="6" spans="1:10" ht="18.75">
      <c r="A6" s="39" t="s">
        <v>154</v>
      </c>
      <c r="B6" s="36"/>
    </row>
    <row r="7" spans="1:10" ht="18.75">
      <c r="A7" s="39"/>
      <c r="B7" s="36"/>
    </row>
    <row r="9" spans="1:10" ht="23.25">
      <c r="A9" s="15" t="s">
        <v>166</v>
      </c>
      <c r="I9" s="2"/>
      <c r="J9" s="2"/>
    </row>
    <row r="10" spans="1:10">
      <c r="A10" s="29" t="s">
        <v>102</v>
      </c>
      <c r="B10" s="14" t="s">
        <v>49</v>
      </c>
      <c r="C10" s="14" t="s">
        <v>50</v>
      </c>
      <c r="D10" s="14" t="s">
        <v>51</v>
      </c>
      <c r="E10" s="14" t="s">
        <v>52</v>
      </c>
      <c r="F10" s="14" t="s">
        <v>54</v>
      </c>
      <c r="I10" s="2"/>
      <c r="J10" s="2"/>
    </row>
    <row r="11" spans="1:10">
      <c r="A11" s="7" t="s">
        <v>122</v>
      </c>
      <c r="B11" s="10">
        <v>20000</v>
      </c>
      <c r="C11" s="10" t="s">
        <v>5</v>
      </c>
      <c r="D11" s="10">
        <v>0</v>
      </c>
      <c r="E11" s="8" t="s">
        <v>6</v>
      </c>
      <c r="F11" s="8">
        <v>24</v>
      </c>
      <c r="I11" s="2"/>
      <c r="J11" s="2"/>
    </row>
    <row r="14" spans="1:10" ht="23.25">
      <c r="A14" s="15" t="s">
        <v>163</v>
      </c>
    </row>
    <row r="15" spans="1:10">
      <c r="A15" s="11" t="s">
        <v>103</v>
      </c>
      <c r="B15" s="14" t="s">
        <v>49</v>
      </c>
      <c r="C15" s="12" t="s">
        <v>50</v>
      </c>
      <c r="D15" s="14" t="s">
        <v>51</v>
      </c>
      <c r="E15" s="12" t="s">
        <v>52</v>
      </c>
      <c r="F15" s="14" t="s">
        <v>54</v>
      </c>
    </row>
    <row r="16" spans="1:10">
      <c r="A16" s="6" t="s">
        <v>122</v>
      </c>
      <c r="B16" s="9" t="str">
        <f>LEFT(A16, FIND("-", A16)-1)</f>
        <v>20000</v>
      </c>
      <c r="C16" s="1" t="str">
        <f>MID(A16, FIND("-", A16)+1, FIND("-", A16, FIND("-", A16)+1) - FIND("-", A16)-1)</f>
        <v>Monday</v>
      </c>
      <c r="D16" s="9" t="str">
        <f>MID(A16, FIND("-", A16, FIND("-", A16)+1)+1, FIND("-", A16, FIND("-", A16, FIND("-", A16)+1)+1) - FIND("-", A16, FIND("-", A16)+1)-1)</f>
        <v>0</v>
      </c>
      <c r="E16" s="1" t="str">
        <f>MID(A16, FIND("-", A16, FIND("-", A16, FIND("-", A16)+1)+1)+1, FIND("-", A16, FIND("-", A16, FIND("-", A16, FIND("-", A16)+1)+1)+1) - FIND("-", A16, FIND("-", A16, FIND("-", A16)+1)+1)-1)</f>
        <v>Sunday</v>
      </c>
      <c r="F16" s="9" t="str">
        <f>MID(A16, FIND("-", A16, FIND("-", A16, FIND("-", A16, FIND("-", A16)+1)+1)+1)+1, LEN(A16) - FIND("-", A16, FIND("-", A16, FIND("-", A16, FIND("-", A16)+1)+1)+1))</f>
        <v>24</v>
      </c>
    </row>
    <row r="17" spans="1:6">
      <c r="A17" s="6" t="s">
        <v>123</v>
      </c>
      <c r="B17" s="9" t="str">
        <f t="shared" ref="B17:B54" si="0">LEFT(A17, FIND("-", A17)-1)</f>
        <v>20002</v>
      </c>
      <c r="C17" s="1" t="str">
        <f t="shared" ref="C17:C54" si="1">MID(A17, FIND("-", A17)+1, FIND("-", A17, FIND("-", A17)+1) - FIND("-", A17)-1)</f>
        <v>Monday</v>
      </c>
      <c r="D17" s="9" t="str">
        <f t="shared" ref="D17:D54" si="2">MID(A17, FIND("-", A17, FIND("-", A17)+1)+1, FIND("-", A17, FIND("-", A17, FIND("-", A17)+1)+1) - FIND("-", A17, FIND("-", A17)+1)-1)</f>
        <v>0</v>
      </c>
      <c r="E17" s="1" t="str">
        <f t="shared" ref="E17:E54" si="3">MID(A17, FIND("-", A17, FIND("-", A17, FIND("-", A17)+1)+1)+1, FIND("-", A17, FIND("-", A17, FIND("-", A17, FIND("-", A17)+1)+1)+1) - FIND("-", A17, FIND("-", A17, FIND("-", A17)+1)+1)-1)</f>
        <v>Sunday</v>
      </c>
      <c r="F17" s="9" t="str">
        <f t="shared" ref="F17:F54" si="4">MID(A17, FIND("-", A17, FIND("-", A17, FIND("-", A17, FIND("-", A17)+1)+1)+1)+1, LEN(A17) - FIND("-", A17, FIND("-", A17, FIND("-", A17, FIND("-", A17)+1)+1)+1))</f>
        <v>24</v>
      </c>
    </row>
    <row r="18" spans="1:6">
      <c r="A18" s="6" t="s">
        <v>124</v>
      </c>
      <c r="B18" s="9" t="str">
        <f t="shared" si="0"/>
        <v>20004</v>
      </c>
      <c r="C18" s="1" t="str">
        <f t="shared" si="1"/>
        <v>Monday</v>
      </c>
      <c r="D18" s="9" t="str">
        <f t="shared" si="2"/>
        <v>0</v>
      </c>
      <c r="E18" s="1" t="str">
        <f t="shared" si="3"/>
        <v>Sunday</v>
      </c>
      <c r="F18" s="9" t="str">
        <f t="shared" si="4"/>
        <v>24</v>
      </c>
    </row>
    <row r="19" spans="1:6">
      <c r="A19" s="6" t="s">
        <v>125</v>
      </c>
      <c r="B19" s="9" t="str">
        <f t="shared" si="0"/>
        <v>20006</v>
      </c>
      <c r="C19" s="1" t="str">
        <f t="shared" si="1"/>
        <v>Monday</v>
      </c>
      <c r="D19" s="9" t="str">
        <f t="shared" si="2"/>
        <v>0</v>
      </c>
      <c r="E19" s="1" t="str">
        <f t="shared" si="3"/>
        <v>Sunday</v>
      </c>
      <c r="F19" s="9" t="str">
        <f t="shared" si="4"/>
        <v>24</v>
      </c>
    </row>
    <row r="20" spans="1:6">
      <c r="A20" s="6" t="s">
        <v>126</v>
      </c>
      <c r="B20" s="9" t="str">
        <f t="shared" si="0"/>
        <v>20008</v>
      </c>
      <c r="C20" s="1" t="str">
        <f t="shared" si="1"/>
        <v>Monday</v>
      </c>
      <c r="D20" s="9" t="str">
        <f t="shared" si="2"/>
        <v>0</v>
      </c>
      <c r="E20" s="1" t="str">
        <f t="shared" si="3"/>
        <v>Sunday</v>
      </c>
      <c r="F20" s="9" t="str">
        <f t="shared" si="4"/>
        <v>24</v>
      </c>
    </row>
    <row r="21" spans="1:6">
      <c r="A21" s="6" t="s">
        <v>127</v>
      </c>
      <c r="B21" s="9" t="str">
        <f t="shared" si="0"/>
        <v>20010</v>
      </c>
      <c r="C21" s="1" t="str">
        <f t="shared" si="1"/>
        <v>Monday</v>
      </c>
      <c r="D21" s="9" t="str">
        <f t="shared" si="2"/>
        <v>0</v>
      </c>
      <c r="E21" s="1" t="str">
        <f t="shared" si="3"/>
        <v>Sunday</v>
      </c>
      <c r="F21" s="9" t="str">
        <f t="shared" si="4"/>
        <v>24</v>
      </c>
    </row>
    <row r="22" spans="1:6">
      <c r="A22" s="6" t="s">
        <v>128</v>
      </c>
      <c r="B22" s="9" t="str">
        <f t="shared" si="0"/>
        <v>20012</v>
      </c>
      <c r="C22" s="1" t="str">
        <f t="shared" si="1"/>
        <v>Monday</v>
      </c>
      <c r="D22" s="9" t="str">
        <f t="shared" si="2"/>
        <v>0</v>
      </c>
      <c r="E22" s="1" t="str">
        <f t="shared" si="3"/>
        <v>Sunday</v>
      </c>
      <c r="F22" s="9" t="str">
        <f t="shared" si="4"/>
        <v>24</v>
      </c>
    </row>
    <row r="23" spans="1:6">
      <c r="A23" s="6" t="s">
        <v>129</v>
      </c>
      <c r="B23" s="9" t="str">
        <f t="shared" si="0"/>
        <v>20014</v>
      </c>
      <c r="C23" s="1" t="str">
        <f t="shared" si="1"/>
        <v>Monday</v>
      </c>
      <c r="D23" s="9" t="str">
        <f t="shared" si="2"/>
        <v>0</v>
      </c>
      <c r="E23" s="1" t="str">
        <f t="shared" si="3"/>
        <v>Sunday</v>
      </c>
      <c r="F23" s="9" t="str">
        <f t="shared" si="4"/>
        <v>24</v>
      </c>
    </row>
    <row r="24" spans="1:6">
      <c r="A24" s="6" t="s">
        <v>130</v>
      </c>
      <c r="B24" s="9" t="str">
        <f t="shared" si="0"/>
        <v>20016</v>
      </c>
      <c r="C24" s="1" t="str">
        <f t="shared" si="1"/>
        <v>Monday</v>
      </c>
      <c r="D24" s="9" t="str">
        <f t="shared" si="2"/>
        <v>0</v>
      </c>
      <c r="E24" s="1" t="str">
        <f t="shared" si="3"/>
        <v>Sunday</v>
      </c>
      <c r="F24" s="9" t="str">
        <f t="shared" si="4"/>
        <v>24</v>
      </c>
    </row>
    <row r="25" spans="1:6">
      <c r="A25" s="6" t="s">
        <v>131</v>
      </c>
      <c r="B25" s="9" t="str">
        <f t="shared" si="0"/>
        <v>20018</v>
      </c>
      <c r="C25" s="1" t="str">
        <f t="shared" si="1"/>
        <v>Monday</v>
      </c>
      <c r="D25" s="9" t="str">
        <f t="shared" si="2"/>
        <v>0</v>
      </c>
      <c r="E25" s="1" t="str">
        <f t="shared" si="3"/>
        <v>Sunday</v>
      </c>
      <c r="F25" s="9" t="str">
        <f t="shared" si="4"/>
        <v>24</v>
      </c>
    </row>
    <row r="26" spans="1:6">
      <c r="A26" s="6" t="s">
        <v>132</v>
      </c>
      <c r="B26" s="9" t="str">
        <f t="shared" si="0"/>
        <v>20020</v>
      </c>
      <c r="C26" s="1" t="str">
        <f t="shared" si="1"/>
        <v>Monday</v>
      </c>
      <c r="D26" s="9" t="str">
        <f t="shared" si="2"/>
        <v>0</v>
      </c>
      <c r="E26" s="1" t="str">
        <f t="shared" si="3"/>
        <v>Sunday</v>
      </c>
      <c r="F26" s="9" t="str">
        <f t="shared" si="4"/>
        <v>24</v>
      </c>
    </row>
    <row r="27" spans="1:6">
      <c r="A27" s="6" t="s">
        <v>133</v>
      </c>
      <c r="B27" s="9" t="str">
        <f t="shared" si="0"/>
        <v>20022</v>
      </c>
      <c r="C27" s="1" t="str">
        <f t="shared" si="1"/>
        <v>Monday</v>
      </c>
      <c r="D27" s="9" t="str">
        <f t="shared" si="2"/>
        <v>0</v>
      </c>
      <c r="E27" s="1" t="str">
        <f t="shared" si="3"/>
        <v>Sunday</v>
      </c>
      <c r="F27" s="9" t="str">
        <f t="shared" si="4"/>
        <v>24</v>
      </c>
    </row>
    <row r="28" spans="1:6">
      <c r="A28" s="6" t="s">
        <v>134</v>
      </c>
      <c r="B28" s="9" t="str">
        <f t="shared" si="0"/>
        <v>20024</v>
      </c>
      <c r="C28" s="1" t="str">
        <f t="shared" si="1"/>
        <v>Monday</v>
      </c>
      <c r="D28" s="9" t="str">
        <f t="shared" si="2"/>
        <v>0</v>
      </c>
      <c r="E28" s="1" t="str">
        <f t="shared" si="3"/>
        <v>Sunday</v>
      </c>
      <c r="F28" s="9" t="str">
        <f t="shared" si="4"/>
        <v>24</v>
      </c>
    </row>
    <row r="29" spans="1:6">
      <c r="A29" s="6" t="s">
        <v>135</v>
      </c>
      <c r="B29" s="9" t="str">
        <f t="shared" si="0"/>
        <v>20026</v>
      </c>
      <c r="C29" s="1" t="str">
        <f t="shared" si="1"/>
        <v>Monday</v>
      </c>
      <c r="D29" s="9" t="str">
        <f t="shared" si="2"/>
        <v>0</v>
      </c>
      <c r="E29" s="1" t="str">
        <f t="shared" si="3"/>
        <v>Sunday</v>
      </c>
      <c r="F29" s="9" t="str">
        <f t="shared" si="4"/>
        <v>24</v>
      </c>
    </row>
    <row r="30" spans="1:6">
      <c r="A30" s="6" t="s">
        <v>136</v>
      </c>
      <c r="B30" s="9" t="str">
        <f t="shared" si="0"/>
        <v>20028</v>
      </c>
      <c r="C30" s="1" t="str">
        <f t="shared" si="1"/>
        <v>Monday</v>
      </c>
      <c r="D30" s="9" t="str">
        <f t="shared" si="2"/>
        <v>0</v>
      </c>
      <c r="E30" s="1" t="str">
        <f t="shared" si="3"/>
        <v>Sunday</v>
      </c>
      <c r="F30" s="9" t="str">
        <f t="shared" si="4"/>
        <v>24</v>
      </c>
    </row>
    <row r="31" spans="1:6">
      <c r="A31" s="6" t="s">
        <v>137</v>
      </c>
      <c r="B31" s="9" t="str">
        <f t="shared" si="0"/>
        <v>20030</v>
      </c>
      <c r="C31" s="1" t="str">
        <f t="shared" si="1"/>
        <v>Monday</v>
      </c>
      <c r="D31" s="9" t="str">
        <f t="shared" si="2"/>
        <v>0</v>
      </c>
      <c r="E31" s="1" t="str">
        <f t="shared" si="3"/>
        <v>Sunday</v>
      </c>
      <c r="F31" s="9" t="str">
        <f t="shared" si="4"/>
        <v>24</v>
      </c>
    </row>
    <row r="32" spans="1:6">
      <c r="A32" s="6" t="s">
        <v>138</v>
      </c>
      <c r="B32" s="9" t="str">
        <f t="shared" si="0"/>
        <v>20032</v>
      </c>
      <c r="C32" s="1" t="str">
        <f t="shared" si="1"/>
        <v>Monday</v>
      </c>
      <c r="D32" s="9" t="str">
        <f t="shared" si="2"/>
        <v>0</v>
      </c>
      <c r="E32" s="1" t="str">
        <f t="shared" si="3"/>
        <v>Sunday</v>
      </c>
      <c r="F32" s="9" t="str">
        <f t="shared" si="4"/>
        <v>24</v>
      </c>
    </row>
    <row r="33" spans="1:6">
      <c r="A33" s="6" t="s">
        <v>139</v>
      </c>
      <c r="B33" s="9" t="str">
        <f t="shared" si="0"/>
        <v>20034</v>
      </c>
      <c r="C33" s="1" t="str">
        <f t="shared" si="1"/>
        <v>Monday</v>
      </c>
      <c r="D33" s="9" t="str">
        <f t="shared" si="2"/>
        <v>0</v>
      </c>
      <c r="E33" s="1" t="str">
        <f t="shared" si="3"/>
        <v>Sunday</v>
      </c>
      <c r="F33" s="9" t="str">
        <f t="shared" si="4"/>
        <v>24</v>
      </c>
    </row>
    <row r="34" spans="1:6">
      <c r="A34" s="6" t="s">
        <v>140</v>
      </c>
      <c r="B34" s="9" t="str">
        <f t="shared" si="0"/>
        <v>20036</v>
      </c>
      <c r="C34" s="1" t="str">
        <f t="shared" si="1"/>
        <v>Monday</v>
      </c>
      <c r="D34" s="9" t="str">
        <f t="shared" si="2"/>
        <v>0</v>
      </c>
      <c r="E34" s="1" t="str">
        <f t="shared" si="3"/>
        <v>Sunday</v>
      </c>
      <c r="F34" s="9" t="str">
        <f t="shared" si="4"/>
        <v>24</v>
      </c>
    </row>
    <row r="35" spans="1:6">
      <c r="A35" s="6" t="s">
        <v>141</v>
      </c>
      <c r="B35" s="9" t="str">
        <f t="shared" si="0"/>
        <v>20038</v>
      </c>
      <c r="C35" s="1" t="str">
        <f t="shared" si="1"/>
        <v>Monday</v>
      </c>
      <c r="D35" s="9" t="str">
        <f t="shared" si="2"/>
        <v>0</v>
      </c>
      <c r="E35" s="1" t="str">
        <f t="shared" si="3"/>
        <v>Sunday</v>
      </c>
      <c r="F35" s="9" t="str">
        <f t="shared" si="4"/>
        <v>24</v>
      </c>
    </row>
    <row r="36" spans="1:6">
      <c r="A36" s="6" t="s">
        <v>142</v>
      </c>
      <c r="B36" s="9" t="str">
        <f t="shared" si="0"/>
        <v>20040</v>
      </c>
      <c r="C36" s="1" t="str">
        <f t="shared" si="1"/>
        <v>Monday</v>
      </c>
      <c r="D36" s="9" t="str">
        <f t="shared" si="2"/>
        <v>0</v>
      </c>
      <c r="E36" s="1" t="str">
        <f t="shared" si="3"/>
        <v>Sunday</v>
      </c>
      <c r="F36" s="9" t="str">
        <f t="shared" si="4"/>
        <v>24</v>
      </c>
    </row>
    <row r="37" spans="1:6">
      <c r="A37" s="6" t="s">
        <v>143</v>
      </c>
      <c r="B37" s="9" t="str">
        <f t="shared" si="0"/>
        <v>20042</v>
      </c>
      <c r="C37" s="1" t="str">
        <f t="shared" si="1"/>
        <v>Monday</v>
      </c>
      <c r="D37" s="9" t="str">
        <f t="shared" si="2"/>
        <v>0</v>
      </c>
      <c r="E37" s="1" t="str">
        <f t="shared" si="3"/>
        <v>Sunday</v>
      </c>
      <c r="F37" s="9" t="str">
        <f t="shared" si="4"/>
        <v>24</v>
      </c>
    </row>
    <row r="38" spans="1:6">
      <c r="A38" s="6" t="s">
        <v>144</v>
      </c>
      <c r="B38" s="9" t="str">
        <f t="shared" si="0"/>
        <v>20044</v>
      </c>
      <c r="C38" s="1" t="str">
        <f t="shared" si="1"/>
        <v>Monday</v>
      </c>
      <c r="D38" s="9" t="str">
        <f t="shared" si="2"/>
        <v>0</v>
      </c>
      <c r="E38" s="1" t="str">
        <f t="shared" si="3"/>
        <v>Sunday</v>
      </c>
      <c r="F38" s="9" t="str">
        <f t="shared" si="4"/>
        <v>24</v>
      </c>
    </row>
    <row r="39" spans="1:6">
      <c r="A39" s="6" t="s">
        <v>145</v>
      </c>
      <c r="B39" s="9" t="str">
        <f t="shared" si="0"/>
        <v>20046</v>
      </c>
      <c r="C39" s="1" t="str">
        <f t="shared" si="1"/>
        <v>Monday</v>
      </c>
      <c r="D39" s="9" t="str">
        <f t="shared" si="2"/>
        <v>0</v>
      </c>
      <c r="E39" s="1" t="str">
        <f t="shared" si="3"/>
        <v>Sunday</v>
      </c>
      <c r="F39" s="9" t="str">
        <f t="shared" si="4"/>
        <v>24</v>
      </c>
    </row>
    <row r="40" spans="1:6">
      <c r="A40" s="6" t="s">
        <v>146</v>
      </c>
      <c r="B40" s="9" t="str">
        <f t="shared" si="0"/>
        <v>20048</v>
      </c>
      <c r="C40" s="1" t="str">
        <f t="shared" si="1"/>
        <v>Monday</v>
      </c>
      <c r="D40" s="9" t="str">
        <f t="shared" si="2"/>
        <v>0</v>
      </c>
      <c r="E40" s="1" t="str">
        <f t="shared" si="3"/>
        <v>Sunday</v>
      </c>
      <c r="F40" s="9" t="str">
        <f t="shared" si="4"/>
        <v>24</v>
      </c>
    </row>
    <row r="41" spans="1:6">
      <c r="A41" s="6" t="s">
        <v>147</v>
      </c>
      <c r="B41" s="9" t="str">
        <f t="shared" si="0"/>
        <v>20050</v>
      </c>
      <c r="C41" s="1" t="str">
        <f t="shared" si="1"/>
        <v>Monday</v>
      </c>
      <c r="D41" s="9" t="str">
        <f t="shared" si="2"/>
        <v>0</v>
      </c>
      <c r="E41" s="1" t="str">
        <f t="shared" si="3"/>
        <v>Sunday</v>
      </c>
      <c r="F41" s="9" t="str">
        <f t="shared" si="4"/>
        <v>24</v>
      </c>
    </row>
    <row r="42" spans="1:6">
      <c r="A42" s="6" t="s">
        <v>148</v>
      </c>
      <c r="B42" s="9" t="str">
        <f t="shared" si="0"/>
        <v>20052</v>
      </c>
      <c r="C42" s="1" t="str">
        <f t="shared" si="1"/>
        <v>Monday</v>
      </c>
      <c r="D42" s="9" t="str">
        <f t="shared" si="2"/>
        <v>0</v>
      </c>
      <c r="E42" s="1" t="str">
        <f t="shared" si="3"/>
        <v>Sunday</v>
      </c>
      <c r="F42" s="9" t="str">
        <f t="shared" si="4"/>
        <v>24</v>
      </c>
    </row>
    <row r="43" spans="1:6">
      <c r="A43" s="6" t="s">
        <v>149</v>
      </c>
      <c r="B43" s="9" t="str">
        <f t="shared" si="0"/>
        <v>20054</v>
      </c>
      <c r="C43" s="1" t="str">
        <f t="shared" si="1"/>
        <v>Monday</v>
      </c>
      <c r="D43" s="9" t="str">
        <f t="shared" si="2"/>
        <v>0</v>
      </c>
      <c r="E43" s="1" t="str">
        <f t="shared" si="3"/>
        <v>Sunday</v>
      </c>
      <c r="F43" s="9" t="str">
        <f t="shared" si="4"/>
        <v>24</v>
      </c>
    </row>
    <row r="44" spans="1:6">
      <c r="A44" s="6" t="s">
        <v>150</v>
      </c>
      <c r="B44" s="9" t="str">
        <f t="shared" si="0"/>
        <v>20058</v>
      </c>
      <c r="C44" s="1" t="str">
        <f t="shared" si="1"/>
        <v>Monday</v>
      </c>
      <c r="D44" s="9" t="str">
        <f t="shared" si="2"/>
        <v>0</v>
      </c>
      <c r="E44" s="1" t="str">
        <f t="shared" si="3"/>
        <v>Sunday</v>
      </c>
      <c r="F44" s="9" t="str">
        <f t="shared" si="4"/>
        <v>24</v>
      </c>
    </row>
    <row r="45" spans="1:6">
      <c r="A45" s="6" t="s">
        <v>151</v>
      </c>
      <c r="B45" s="9" t="str">
        <f t="shared" si="0"/>
        <v>20060</v>
      </c>
      <c r="C45" s="1" t="str">
        <f t="shared" si="1"/>
        <v>Monday</v>
      </c>
      <c r="D45" s="9" t="str">
        <f t="shared" si="2"/>
        <v>0</v>
      </c>
      <c r="E45" s="1" t="str">
        <f t="shared" si="3"/>
        <v>Sunday</v>
      </c>
      <c r="F45" s="9" t="str">
        <f t="shared" si="4"/>
        <v>24</v>
      </c>
    </row>
    <row r="46" spans="1:6">
      <c r="A46" s="6" t="s">
        <v>113</v>
      </c>
      <c r="B46" s="9" t="str">
        <f t="shared" si="0"/>
        <v>21000</v>
      </c>
      <c r="C46" s="1" t="str">
        <f t="shared" si="1"/>
        <v>Monday</v>
      </c>
      <c r="D46" s="9" t="str">
        <f t="shared" si="2"/>
        <v>0</v>
      </c>
      <c r="E46" s="1" t="str">
        <f t="shared" si="3"/>
        <v>Sunday</v>
      </c>
      <c r="F46" s="9" t="str">
        <f t="shared" si="4"/>
        <v>24</v>
      </c>
    </row>
    <row r="47" spans="1:6">
      <c r="A47" s="6" t="s">
        <v>114</v>
      </c>
      <c r="B47" s="9" t="str">
        <f t="shared" si="0"/>
        <v>21002</v>
      </c>
      <c r="C47" s="1" t="str">
        <f t="shared" si="1"/>
        <v>Monday</v>
      </c>
      <c r="D47" s="9" t="str">
        <f t="shared" si="2"/>
        <v>0</v>
      </c>
      <c r="E47" s="1" t="str">
        <f t="shared" si="3"/>
        <v>Sunday</v>
      </c>
      <c r="F47" s="9" t="str">
        <f t="shared" si="4"/>
        <v>24</v>
      </c>
    </row>
    <row r="48" spans="1:6">
      <c r="A48" s="6" t="s">
        <v>115</v>
      </c>
      <c r="B48" s="9" t="str">
        <f t="shared" si="0"/>
        <v>21004</v>
      </c>
      <c r="C48" s="1" t="str">
        <f t="shared" si="1"/>
        <v>Monday</v>
      </c>
      <c r="D48" s="9" t="str">
        <f t="shared" si="2"/>
        <v>0</v>
      </c>
      <c r="E48" s="1" t="str">
        <f t="shared" si="3"/>
        <v>Sunday</v>
      </c>
      <c r="F48" s="9" t="str">
        <f t="shared" si="4"/>
        <v>24</v>
      </c>
    </row>
    <row r="49" spans="1:6">
      <c r="A49" s="6" t="s">
        <v>116</v>
      </c>
      <c r="B49" s="9" t="str">
        <f t="shared" si="0"/>
        <v>21006</v>
      </c>
      <c r="C49" s="1" t="str">
        <f t="shared" si="1"/>
        <v>Monday</v>
      </c>
      <c r="D49" s="9" t="str">
        <f t="shared" si="2"/>
        <v>0</v>
      </c>
      <c r="E49" s="1" t="str">
        <f t="shared" si="3"/>
        <v>Sunday</v>
      </c>
      <c r="F49" s="9" t="str">
        <f t="shared" si="4"/>
        <v>24</v>
      </c>
    </row>
    <row r="50" spans="1:6">
      <c r="A50" s="6" t="s">
        <v>117</v>
      </c>
      <c r="B50" s="9" t="str">
        <f t="shared" si="0"/>
        <v>21008</v>
      </c>
      <c r="C50" s="1" t="str">
        <f t="shared" si="1"/>
        <v>Monday</v>
      </c>
      <c r="D50" s="9" t="str">
        <f t="shared" si="2"/>
        <v>0</v>
      </c>
      <c r="E50" s="1" t="str">
        <f t="shared" si="3"/>
        <v>Sunday</v>
      </c>
      <c r="F50" s="9" t="str">
        <f t="shared" si="4"/>
        <v>24</v>
      </c>
    </row>
    <row r="51" spans="1:6">
      <c r="A51" s="6" t="s">
        <v>118</v>
      </c>
      <c r="B51" s="9" t="str">
        <f t="shared" si="0"/>
        <v>21010</v>
      </c>
      <c r="C51" s="1" t="str">
        <f t="shared" si="1"/>
        <v>Monday</v>
      </c>
      <c r="D51" s="9" t="str">
        <f t="shared" si="2"/>
        <v>0</v>
      </c>
      <c r="E51" s="1" t="str">
        <f t="shared" si="3"/>
        <v>Sunday</v>
      </c>
      <c r="F51" s="9" t="str">
        <f t="shared" si="4"/>
        <v>24</v>
      </c>
    </row>
    <row r="52" spans="1:6">
      <c r="A52" s="6" t="s">
        <v>119</v>
      </c>
      <c r="B52" s="9" t="str">
        <f t="shared" si="0"/>
        <v>21012</v>
      </c>
      <c r="C52" s="1" t="str">
        <f t="shared" si="1"/>
        <v>Monday</v>
      </c>
      <c r="D52" s="9" t="str">
        <f t="shared" si="2"/>
        <v>0</v>
      </c>
      <c r="E52" s="1" t="str">
        <f t="shared" si="3"/>
        <v>Sunday</v>
      </c>
      <c r="F52" s="9" t="str">
        <f t="shared" si="4"/>
        <v>24</v>
      </c>
    </row>
    <row r="53" spans="1:6">
      <c r="A53" s="6" t="s">
        <v>120</v>
      </c>
      <c r="B53" s="9" t="str">
        <f t="shared" si="0"/>
        <v>21014</v>
      </c>
      <c r="C53" s="1" t="str">
        <f t="shared" si="1"/>
        <v>Monday</v>
      </c>
      <c r="D53" s="9" t="str">
        <f t="shared" si="2"/>
        <v>0</v>
      </c>
      <c r="E53" s="1" t="str">
        <f t="shared" si="3"/>
        <v>Sunday</v>
      </c>
      <c r="F53" s="9" t="str">
        <f t="shared" si="4"/>
        <v>24</v>
      </c>
    </row>
    <row r="54" spans="1:6">
      <c r="A54" s="7" t="s">
        <v>121</v>
      </c>
      <c r="B54" s="9" t="str">
        <f t="shared" si="0"/>
        <v>21016</v>
      </c>
      <c r="C54" s="1" t="str">
        <f t="shared" si="1"/>
        <v>Monday</v>
      </c>
      <c r="D54" s="9" t="str">
        <f t="shared" si="2"/>
        <v>0</v>
      </c>
      <c r="E54" s="1" t="str">
        <f t="shared" si="3"/>
        <v>Sunday</v>
      </c>
      <c r="F54" s="9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D22"/>
  <sheetViews>
    <sheetView topLeftCell="A7" workbookViewId="0">
      <selection activeCell="B8" sqref="B8"/>
    </sheetView>
  </sheetViews>
  <sheetFormatPr defaultColWidth="11" defaultRowHeight="12.75"/>
  <cols>
    <col min="1" max="1" width="35" style="2" customWidth="1"/>
    <col min="2" max="2" width="24.5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>
      <c r="A1" s="38" t="s">
        <v>85</v>
      </c>
      <c r="B1" s="37" t="s">
        <v>168</v>
      </c>
    </row>
    <row r="2" spans="1:4" ht="18.75">
      <c r="B2" s="36" t="s">
        <v>167</v>
      </c>
    </row>
    <row r="5" spans="1:4" ht="15">
      <c r="B5" s="1" t="s">
        <v>152</v>
      </c>
    </row>
    <row r="6" spans="1:4" ht="15">
      <c r="A6" s="3" t="s">
        <v>53</v>
      </c>
      <c r="B6" s="1" t="s">
        <v>179</v>
      </c>
    </row>
    <row r="7" spans="1:4" ht="15">
      <c r="A7" s="3" t="s">
        <v>154</v>
      </c>
      <c r="B7" s="1" t="s">
        <v>180</v>
      </c>
    </row>
    <row r="10" spans="1:4" ht="23.25">
      <c r="A10" s="15" t="s">
        <v>163</v>
      </c>
    </row>
    <row r="11" spans="1:4" ht="15">
      <c r="A11" s="28" t="s">
        <v>86</v>
      </c>
      <c r="B11" s="14" t="s">
        <v>87</v>
      </c>
      <c r="C11" s="14" t="s">
        <v>88</v>
      </c>
    </row>
    <row r="12" spans="1:4" ht="15">
      <c r="A12" s="28">
        <v>44927</v>
      </c>
      <c r="B12" s="14" t="s">
        <v>59</v>
      </c>
      <c r="C12" s="14">
        <v>200</v>
      </c>
      <c r="D12" s="2">
        <f>IF(ISNA(C12),20,C12)</f>
        <v>200</v>
      </c>
    </row>
    <row r="13" spans="1:4" ht="15">
      <c r="A13" s="28">
        <v>44928</v>
      </c>
      <c r="B13" s="14" t="s">
        <v>60</v>
      </c>
      <c r="C13" s="14" t="e">
        <v>#N/A</v>
      </c>
      <c r="D13" s="2">
        <f t="shared" ref="D13:D21" si="0">IF(ISNA(C13),20,C13)</f>
        <v>20</v>
      </c>
    </row>
    <row r="14" spans="1:4" ht="15">
      <c r="A14" s="28">
        <v>44929</v>
      </c>
      <c r="B14" s="14" t="s">
        <v>61</v>
      </c>
      <c r="C14" s="14">
        <v>50</v>
      </c>
      <c r="D14" s="2">
        <f t="shared" si="0"/>
        <v>50</v>
      </c>
    </row>
    <row r="15" spans="1:4" ht="15">
      <c r="A15" s="28">
        <v>44930</v>
      </c>
      <c r="B15" s="14" t="s">
        <v>62</v>
      </c>
      <c r="C15" s="14" t="e">
        <v>#N/A</v>
      </c>
      <c r="D15" s="2">
        <f t="shared" si="0"/>
        <v>20</v>
      </c>
    </row>
    <row r="16" spans="1:4" ht="15">
      <c r="A16" s="28">
        <v>44931</v>
      </c>
      <c r="B16" s="14" t="s">
        <v>63</v>
      </c>
      <c r="C16" s="14">
        <v>10</v>
      </c>
      <c r="D16" s="2">
        <f t="shared" si="0"/>
        <v>10</v>
      </c>
    </row>
    <row r="17" spans="1:4" ht="15">
      <c r="A17" s="28">
        <v>44932</v>
      </c>
      <c r="B17" s="14" t="s">
        <v>155</v>
      </c>
      <c r="C17" s="14">
        <v>150</v>
      </c>
      <c r="D17" s="2">
        <f t="shared" si="0"/>
        <v>150</v>
      </c>
    </row>
    <row r="18" spans="1:4" ht="15">
      <c r="A18" s="28">
        <v>44933</v>
      </c>
      <c r="B18" s="14" t="s">
        <v>156</v>
      </c>
      <c r="C18" s="14">
        <v>80</v>
      </c>
      <c r="D18" s="2">
        <f t="shared" si="0"/>
        <v>80</v>
      </c>
    </row>
    <row r="19" spans="1:4" ht="15">
      <c r="A19" s="28">
        <v>44934</v>
      </c>
      <c r="B19" s="14" t="s">
        <v>157</v>
      </c>
      <c r="C19" s="14" t="e">
        <v>#N/A</v>
      </c>
      <c r="D19" s="2">
        <f t="shared" si="0"/>
        <v>20</v>
      </c>
    </row>
    <row r="20" spans="1:4" ht="15">
      <c r="A20" s="28">
        <v>44935</v>
      </c>
      <c r="B20" s="14" t="s">
        <v>158</v>
      </c>
      <c r="C20" s="14">
        <v>30</v>
      </c>
      <c r="D20" s="2">
        <f t="shared" si="0"/>
        <v>30</v>
      </c>
    </row>
    <row r="21" spans="1:4" ht="15">
      <c r="A21" s="28">
        <v>44936</v>
      </c>
      <c r="B21" s="14" t="s">
        <v>159</v>
      </c>
      <c r="C21" s="14" t="e">
        <v>#N/A</v>
      </c>
      <c r="D21" s="2">
        <f t="shared" si="0"/>
        <v>20</v>
      </c>
    </row>
    <row r="22" spans="1:4" ht="15">
      <c r="B22" s="14" t="s">
        <v>160</v>
      </c>
      <c r="C22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topLeftCell="A14" workbookViewId="0">
      <selection activeCell="A22" sqref="A22:C35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38" t="s">
        <v>98</v>
      </c>
      <c r="B1" s="37" t="s">
        <v>176</v>
      </c>
    </row>
    <row r="3" spans="1:14" ht="15">
      <c r="B3" s="1" t="s">
        <v>152</v>
      </c>
    </row>
    <row r="4" spans="1:14" ht="18.75">
      <c r="A4" s="39" t="s">
        <v>53</v>
      </c>
      <c r="B4" s="1"/>
    </row>
    <row r="5" spans="1:14" ht="18.75">
      <c r="A5" s="39" t="s">
        <v>154</v>
      </c>
      <c r="B5" s="1"/>
    </row>
    <row r="6" spans="1:14" ht="15">
      <c r="A6" s="3"/>
      <c r="B6" s="1"/>
    </row>
    <row r="8" spans="1:14" ht="23.25">
      <c r="A8" s="15" t="s">
        <v>163</v>
      </c>
      <c r="M8" s="15" t="s">
        <v>164</v>
      </c>
    </row>
    <row r="9" spans="1:14" ht="15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6" t="s">
        <v>43</v>
      </c>
      <c r="N9" s="16" t="s">
        <v>99</v>
      </c>
    </row>
    <row r="10" spans="1:14" ht="15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9">
        <v>10100</v>
      </c>
      <c r="N10" s="9" t="s">
        <v>89</v>
      </c>
    </row>
    <row r="11" spans="1:14" ht="15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9">
        <v>10102</v>
      </c>
      <c r="N11" s="9" t="s">
        <v>90</v>
      </c>
    </row>
    <row r="12" spans="1:14" ht="15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9">
        <v>10104</v>
      </c>
      <c r="N12" s="9" t="s">
        <v>91</v>
      </c>
    </row>
    <row r="13" spans="1:14" ht="15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9">
        <v>10106</v>
      </c>
      <c r="N13" s="9" t="s">
        <v>92</v>
      </c>
    </row>
    <row r="14" spans="1:14" ht="15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9">
        <v>10108</v>
      </c>
      <c r="N14" s="9" t="s">
        <v>93</v>
      </c>
    </row>
    <row r="15" spans="1:14" ht="15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9">
        <v>10110</v>
      </c>
      <c r="N15" s="9" t="s">
        <v>94</v>
      </c>
    </row>
    <row r="16" spans="1:14" ht="15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9">
        <v>10112</v>
      </c>
      <c r="N16" s="9" t="s">
        <v>95</v>
      </c>
    </row>
    <row r="17" spans="1:14" ht="15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9">
        <v>10114</v>
      </c>
      <c r="N17" s="9" t="s">
        <v>96</v>
      </c>
    </row>
    <row r="18" spans="1:14" ht="15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0">
        <v>10116</v>
      </c>
      <c r="N18" s="10" t="s">
        <v>97</v>
      </c>
    </row>
    <row r="21" spans="1:14" ht="23.25">
      <c r="A21" s="15" t="s">
        <v>169</v>
      </c>
    </row>
    <row r="22" spans="1:14" ht="15">
      <c r="A22" s="11" t="s">
        <v>100</v>
      </c>
      <c r="B22" s="14" t="s">
        <v>101</v>
      </c>
      <c r="C22" s="13" t="s">
        <v>102</v>
      </c>
    </row>
    <row r="23" spans="1:14" ht="15">
      <c r="A23" s="6">
        <v>10100</v>
      </c>
      <c r="B23" s="9">
        <v>10102</v>
      </c>
      <c r="C23" s="40"/>
    </row>
    <row r="24" spans="1:14" ht="15">
      <c r="A24" s="6">
        <v>10100</v>
      </c>
      <c r="B24" s="9">
        <v>10104</v>
      </c>
      <c r="C24" s="40"/>
    </row>
    <row r="25" spans="1:14" ht="15">
      <c r="A25" s="6">
        <v>10108</v>
      </c>
      <c r="B25" s="9">
        <v>10102</v>
      </c>
      <c r="C25" s="40"/>
    </row>
    <row r="26" spans="1:14" ht="15">
      <c r="A26" s="6">
        <v>10100</v>
      </c>
      <c r="B26" s="9">
        <v>10106</v>
      </c>
      <c r="C26" s="40"/>
    </row>
    <row r="27" spans="1:14" ht="15">
      <c r="A27" s="6">
        <v>10108</v>
      </c>
      <c r="B27" s="9">
        <v>10110</v>
      </c>
      <c r="C27" s="40"/>
    </row>
    <row r="28" spans="1:14" ht="15">
      <c r="A28" s="6">
        <v>10102</v>
      </c>
      <c r="B28" s="9">
        <v>10104</v>
      </c>
      <c r="C28" s="40"/>
    </row>
    <row r="29" spans="1:14" ht="15">
      <c r="A29" s="6">
        <v>10106</v>
      </c>
      <c r="B29" s="9">
        <v>10108</v>
      </c>
      <c r="C29" s="40"/>
    </row>
    <row r="30" spans="1:14" ht="15">
      <c r="A30" s="6">
        <v>10102</v>
      </c>
      <c r="B30" s="9">
        <v>10106</v>
      </c>
      <c r="C30" s="40"/>
    </row>
    <row r="31" spans="1:14" ht="15">
      <c r="A31" s="6">
        <v>10110</v>
      </c>
      <c r="B31" s="9">
        <v>10114</v>
      </c>
      <c r="C31" s="40"/>
    </row>
    <row r="32" spans="1:14" ht="15">
      <c r="A32" s="6">
        <v>10104</v>
      </c>
      <c r="B32" s="9">
        <v>10106</v>
      </c>
      <c r="C32" s="40"/>
    </row>
    <row r="33" spans="1:3" ht="15">
      <c r="A33" s="6">
        <v>10110</v>
      </c>
      <c r="B33" s="9">
        <v>10112</v>
      </c>
      <c r="C33" s="40"/>
    </row>
    <row r="34" spans="1:3" ht="15">
      <c r="A34" s="6">
        <v>10100</v>
      </c>
      <c r="B34" s="9">
        <v>10114</v>
      </c>
      <c r="C34" s="40"/>
    </row>
    <row r="35" spans="1:3" ht="15">
      <c r="A35" s="7">
        <v>10112</v>
      </c>
      <c r="B35" s="10">
        <v>10116</v>
      </c>
      <c r="C35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sss</cp:lastModifiedBy>
  <dcterms:created xsi:type="dcterms:W3CDTF">2015-02-10T17:33:11Z</dcterms:created>
  <dcterms:modified xsi:type="dcterms:W3CDTF">2023-12-09T15:17:29Z</dcterms:modified>
</cp:coreProperties>
</file>